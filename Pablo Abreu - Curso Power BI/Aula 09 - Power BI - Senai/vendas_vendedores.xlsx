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Aulas Power Bi\Aula 04 -  Power Query e tratamento de dados no Power BI\Exercicio 02\"/>
    </mc:Choice>
  </mc:AlternateContent>
  <xr:revisionPtr revIDLastSave="0" documentId="13_ncr:1_{D5A3F66A-3F14-4801-A0F5-8D0476D08F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e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WA/3gIM9IPgd1I5dD7hBY4bXDjPJ74CFSyPtO4yiD0="/>
    </ext>
  </extLst>
</workbook>
</file>

<file path=xl/calcChain.xml><?xml version="1.0" encoding="utf-8"?>
<calcChain xmlns="http://schemas.openxmlformats.org/spreadsheetml/2006/main">
  <c r="F56" i="1" l="1"/>
  <c r="F55" i="1"/>
  <c r="F54" i="1"/>
  <c r="F53" i="1"/>
  <c r="F52" i="1"/>
  <c r="F51" i="1"/>
  <c r="F49" i="1"/>
  <c r="F48" i="1"/>
  <c r="F47" i="1"/>
  <c r="F46" i="1"/>
  <c r="F45" i="1"/>
  <c r="F44" i="1"/>
  <c r="F43" i="1"/>
  <c r="F42" i="1"/>
  <c r="F41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4" i="1"/>
  <c r="F23" i="1"/>
  <c r="F22" i="1"/>
  <c r="F21" i="1"/>
  <c r="F20" i="1"/>
  <c r="F19" i="1"/>
  <c r="F18" i="1"/>
  <c r="F17" i="1"/>
  <c r="F15" i="1"/>
  <c r="F14" i="1"/>
  <c r="F12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<sst xmlns="http://schemas.openxmlformats.org/spreadsheetml/2006/main" count="304" uniqueCount="207">
  <si>
    <t>Nome do Vendedor</t>
  </si>
  <si>
    <t>Sobrenome do Vendedor</t>
  </si>
  <si>
    <t>Mês</t>
  </si>
  <si>
    <t>Meta</t>
  </si>
  <si>
    <t xml:space="preserve">Vendas </t>
  </si>
  <si>
    <t>Data</t>
  </si>
  <si>
    <t>André</t>
  </si>
  <si>
    <t>Monteiro</t>
  </si>
  <si>
    <t>Setembro</t>
  </si>
  <si>
    <t>Bruna</t>
  </si>
  <si>
    <t>Costa</t>
  </si>
  <si>
    <t>Maio</t>
  </si>
  <si>
    <t>Juliana</t>
  </si>
  <si>
    <t>Outubro</t>
  </si>
  <si>
    <t>Patrícia</t>
  </si>
  <si>
    <t>Oliveira</t>
  </si>
  <si>
    <t>Dezembro</t>
  </si>
  <si>
    <t>Felipe</t>
  </si>
  <si>
    <t>Fernandes</t>
  </si>
  <si>
    <t>Julho</t>
  </si>
  <si>
    <t>Natália</t>
  </si>
  <si>
    <t>Lima</t>
  </si>
  <si>
    <t>Fevereiro</t>
  </si>
  <si>
    <t>Gustavo</t>
  </si>
  <si>
    <t>Moraes</t>
  </si>
  <si>
    <t>Junho</t>
  </si>
  <si>
    <t>Janeiro</t>
  </si>
  <si>
    <t>Beatriz</t>
  </si>
  <si>
    <t>Azevedo</t>
  </si>
  <si>
    <t>Gomes</t>
  </si>
  <si>
    <t>Carlos</t>
  </si>
  <si>
    <t>Cardoso</t>
  </si>
  <si>
    <t>Camila</t>
  </si>
  <si>
    <t>Martins</t>
  </si>
  <si>
    <t>Lucas</t>
  </si>
  <si>
    <t>Abril</t>
  </si>
  <si>
    <t>Março</t>
  </si>
  <si>
    <t>Novembro</t>
  </si>
  <si>
    <t>Almeida</t>
  </si>
  <si>
    <t>Eduardo</t>
  </si>
  <si>
    <t>Agosto</t>
  </si>
  <si>
    <t>Fernanda</t>
  </si>
  <si>
    <t>Barros</t>
  </si>
  <si>
    <t>Nascimento</t>
  </si>
  <si>
    <t>Pedro</t>
  </si>
  <si>
    <t>Silva</t>
  </si>
  <si>
    <t>Souza</t>
  </si>
  <si>
    <t>Ribeiro</t>
  </si>
  <si>
    <t>Ricardo</t>
  </si>
  <si>
    <t>Freitas</t>
  </si>
  <si>
    <t>Maria</t>
  </si>
  <si>
    <t>Rafael</t>
  </si>
  <si>
    <t>Rodrigues</t>
  </si>
  <si>
    <t>João</t>
  </si>
  <si>
    <t>Teixeira</t>
  </si>
  <si>
    <t>Pereira</t>
  </si>
  <si>
    <t>Endereço</t>
  </si>
  <si>
    <t>CEP</t>
  </si>
  <si>
    <t>Telefone</t>
  </si>
  <si>
    <t>Conjunto Isabelly Mendes, 61</t>
  </si>
  <si>
    <t>+55 51 4802 5191</t>
  </si>
  <si>
    <t>28066-022</t>
  </si>
  <si>
    <t>+55 (011) 7133 9381</t>
  </si>
  <si>
    <t>Praça Henrique Moraes, 4</t>
  </si>
  <si>
    <t>38914-266</t>
  </si>
  <si>
    <t>(041) 7232 3947</t>
  </si>
  <si>
    <t>Ladeira Dias, 16</t>
  </si>
  <si>
    <t>97963-733</t>
  </si>
  <si>
    <t>21 4734 0679</t>
  </si>
  <si>
    <t>Vale Freitas, 13</t>
  </si>
  <si>
    <t>+55 61 2015-5013</t>
  </si>
  <si>
    <t>Rodovia de Peixoto, 5</t>
  </si>
  <si>
    <t>46211325</t>
  </si>
  <si>
    <t>+55 41 0402-2400</t>
  </si>
  <si>
    <t>Setor Fernanda Freitas, 90</t>
  </si>
  <si>
    <t>11797-317</t>
  </si>
  <si>
    <t>+55 11 8836-5511</t>
  </si>
  <si>
    <t>Trecho Aragão, 65</t>
  </si>
  <si>
    <t>99493183</t>
  </si>
  <si>
    <t>(031) 8086-6410</t>
  </si>
  <si>
    <t>Esplanada de da Mata, 62</t>
  </si>
  <si>
    <t>13106-628</t>
  </si>
  <si>
    <t>84 3169 4319</t>
  </si>
  <si>
    <t>Núcleo de Costa, 31</t>
  </si>
  <si>
    <t>89011-437</t>
  </si>
  <si>
    <t>+55 21 0629 0553</t>
  </si>
  <si>
    <t>Setor de Rezende, 49</t>
  </si>
  <si>
    <t>96931-957</t>
  </si>
  <si>
    <t>(041) 2430 8669</t>
  </si>
  <si>
    <t>Núcleo de Pinto, 19</t>
  </si>
  <si>
    <t>62840689</t>
  </si>
  <si>
    <t>51 0808 9592</t>
  </si>
  <si>
    <t>Recanto Maria Fernanda Peixoto, 31</t>
  </si>
  <si>
    <t>94526-011</t>
  </si>
  <si>
    <t>31 4605-1152</t>
  </si>
  <si>
    <t>Sítio de Cardoso, 50</t>
  </si>
  <si>
    <t>34014-069</t>
  </si>
  <si>
    <t>+55 71 1072-9862</t>
  </si>
  <si>
    <t>Trecho Alícia Almeida, 2</t>
  </si>
  <si>
    <t>41783312</t>
  </si>
  <si>
    <t>31 1103-3854</t>
  </si>
  <si>
    <t>81993-196</t>
  </si>
  <si>
    <t>+55 (071) 9594-3789</t>
  </si>
  <si>
    <t>Praça Juan Alves, 21</t>
  </si>
  <si>
    <t>66177-646</t>
  </si>
  <si>
    <t>+55 (021) 3136 8463</t>
  </si>
  <si>
    <t>Avenida Moraes, 603</t>
  </si>
  <si>
    <t>11912194</t>
  </si>
  <si>
    <t>+55 41 7061 2565</t>
  </si>
  <si>
    <t>Trevo da Paz, 14</t>
  </si>
  <si>
    <t>69422-472</t>
  </si>
  <si>
    <t>+55 11 1703-2227</t>
  </si>
  <si>
    <t>Campo Pedro Miguel Nunes, 48</t>
  </si>
  <si>
    <t>20227-303</t>
  </si>
  <si>
    <t>84 8078 8937</t>
  </si>
  <si>
    <t>Avenida Luiz Otávio Campos, 80</t>
  </si>
  <si>
    <t>31954-014</t>
  </si>
  <si>
    <t>71 0395 6154</t>
  </si>
  <si>
    <t>Alameda Peixoto, 57</t>
  </si>
  <si>
    <t>67712-165</t>
  </si>
  <si>
    <t>+55 21 5681 6050</t>
  </si>
  <si>
    <t>Recanto João Guilherme das Neves, 1</t>
  </si>
  <si>
    <t>13738135</t>
  </si>
  <si>
    <t>11 0472-6321</t>
  </si>
  <si>
    <t>Viela de da Rocha, 1</t>
  </si>
  <si>
    <t>75401417</t>
  </si>
  <si>
    <t>(081) 7299-0808</t>
  </si>
  <si>
    <t>Rua de Santos, 372</t>
  </si>
  <si>
    <t>10349-508</t>
  </si>
  <si>
    <t>+55 41 2497-1396</t>
  </si>
  <si>
    <t>Passarela Pedro Henrique Almeida, 2</t>
  </si>
  <si>
    <t>99910255</t>
  </si>
  <si>
    <t>+55 (084) 3855 8205</t>
  </si>
  <si>
    <t>Travessa de Barbosa, 67</t>
  </si>
  <si>
    <t>91940988</t>
  </si>
  <si>
    <t>+55 (011) 1319-7543</t>
  </si>
  <si>
    <t>Chácara de Ribeiro, 8</t>
  </si>
  <si>
    <t>20791-464</t>
  </si>
  <si>
    <t>+55 (031) 8379 0335</t>
  </si>
  <si>
    <t>Morro de Souza, 33</t>
  </si>
  <si>
    <t>27997481</t>
  </si>
  <si>
    <t>+55 (011) 3521 7446</t>
  </si>
  <si>
    <t>Recanto Kaique Farias, 76</t>
  </si>
  <si>
    <t>26374-861</t>
  </si>
  <si>
    <t>(051) 1391 6531</t>
  </si>
  <si>
    <t>Colônia Ferreira, 889</t>
  </si>
  <si>
    <t>59010942</t>
  </si>
  <si>
    <t>(084) 2905 9641</t>
  </si>
  <si>
    <t>85276-554</t>
  </si>
  <si>
    <t>+55 21 9258 6475</t>
  </si>
  <si>
    <t>Vale Nathan da Cunha, 1</t>
  </si>
  <si>
    <t>80899-492</t>
  </si>
  <si>
    <t>+55 (041) 6582 6587</t>
  </si>
  <si>
    <t>Recanto Leandro Lima, 472</t>
  </si>
  <si>
    <t>34398676</t>
  </si>
  <si>
    <t>(021) 7144 5677</t>
  </si>
  <si>
    <t>Chácara Yago Pereira, 46</t>
  </si>
  <si>
    <t>78058-014</t>
  </si>
  <si>
    <t>0500 579 6847</t>
  </si>
  <si>
    <t>Colônia João Gabriel Aragão, 8</t>
  </si>
  <si>
    <t>32663675</t>
  </si>
  <si>
    <t>(061) 2544-9906</t>
  </si>
  <si>
    <t>Quadra de Costa, 65</t>
  </si>
  <si>
    <t>37388-814</t>
  </si>
  <si>
    <t>51 8792 6813</t>
  </si>
  <si>
    <t>Pátio Monteiro, 16</t>
  </si>
  <si>
    <t>55047-989</t>
  </si>
  <si>
    <t>0900-170-9442</t>
  </si>
  <si>
    <t>Colônia Ana Laura Rocha, 15</t>
  </si>
  <si>
    <t>68565-713</t>
  </si>
  <si>
    <t>+55 41 6850 6171</t>
  </si>
  <si>
    <t>Ladeira de da Conceição, 1</t>
  </si>
  <si>
    <t>16686-591</t>
  </si>
  <si>
    <t>(021) 2452 9799</t>
  </si>
  <si>
    <t>98991-101</t>
  </si>
  <si>
    <t>0500-372-4765</t>
  </si>
  <si>
    <t>Distrito Novaes, 1</t>
  </si>
  <si>
    <t>97773-700</t>
  </si>
  <si>
    <t>41 4519 2122</t>
  </si>
  <si>
    <t>Estrada da Mata, 24</t>
  </si>
  <si>
    <t>14567333</t>
  </si>
  <si>
    <t>61 1845 4945</t>
  </si>
  <si>
    <t>Sítio de Rodrigues, 29</t>
  </si>
  <si>
    <t>13962131</t>
  </si>
  <si>
    <t>+55 84 6430-1901</t>
  </si>
  <si>
    <t>Esplanada Heitor Jesus, 94</t>
  </si>
  <si>
    <t>07693752</t>
  </si>
  <si>
    <t>51 6952 8452</t>
  </si>
  <si>
    <t>Praia Santos, 202</t>
  </si>
  <si>
    <t>17269976</t>
  </si>
  <si>
    <t>+55 61 4201-6266</t>
  </si>
  <si>
    <t>Campo Yasmin Pires, 8</t>
  </si>
  <si>
    <t>06068-320</t>
  </si>
  <si>
    <t>+55 81 5621 4255</t>
  </si>
  <si>
    <t>Passarela Freitas, 140</t>
  </si>
  <si>
    <t>28850-618</t>
  </si>
  <si>
    <t>41 8343-0871</t>
  </si>
  <si>
    <t>Lago de da Luz, 66</t>
  </si>
  <si>
    <t>85403-036</t>
  </si>
  <si>
    <t>+55 (051) 1450-2042</t>
  </si>
  <si>
    <t>Núcleo Clara Teixeira, 230</t>
  </si>
  <si>
    <t>Lagoa de Peixoto, 25</t>
  </si>
  <si>
    <t>Morro Stella Oliveira,91</t>
  </si>
  <si>
    <t>Esplanada vitoria, 20</t>
  </si>
  <si>
    <t>32145-292</t>
  </si>
  <si>
    <t>78352-928</t>
  </si>
  <si>
    <t>Frete pago pela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</si>
</sst>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4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1" fillId="0" borderId="0" xfId="0" applyFont="1"/>
    <xf numFmtId="164" fontId="2" fillId="0" borderId="1" xfId="1" applyFont="1" applyBorder="1" applyAlignment="1">
      <alignment horizontal="center" vertical="top"/>
    </xf>
    <xf numFmtId="164" fontId="3" fillId="0" borderId="0" xfId="1" applyFont="1"/>
    <xf numFmtId="16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A33" workbookViewId="0">
      <selection activeCell="F48" sqref="F48"/>
    </sheetView>
  </sheetViews>
  <sheetFormatPr defaultColWidth="14.42578125" defaultRowHeight="15" customHeight="1" x14ac:dyDescent="0.25"/>
  <cols>
    <col min="1" max="1" width="18.7109375" customWidth="1"/>
    <col min="2" max="2" width="23.7109375" customWidth="1"/>
    <col min="3" max="3" width="12.7109375" customWidth="1"/>
    <col min="4" max="4" width="12.7109375" style="8" bestFit="1" customWidth="1"/>
    <col min="5" max="5" width="12.7109375" style="8" customWidth="1"/>
    <col min="6" max="6" width="12.7109375" customWidth="1"/>
    <col min="7" max="7" width="23.28515625" bestFit="1" customWidth="1"/>
    <col min="8" max="8" width="34.7109375" bestFit="1" customWidth="1"/>
    <col min="9" max="9" width="19.140625" customWidth="1"/>
    <col min="10" max="10" width="18.28515625" bestFit="1" customWidth="1"/>
    <col min="11" max="26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1" t="s">
        <v>5</v>
      </c>
      <c r="G1" s="1" t="s">
        <v>206</v>
      </c>
      <c r="H1" s="4" t="s">
        <v>56</v>
      </c>
      <c r="I1" s="4" t="s">
        <v>57</v>
      </c>
      <c r="J1" s="4" t="s">
        <v>58</v>
      </c>
    </row>
    <row r="2" spans="1:10" x14ac:dyDescent="0.25">
      <c r="A2" s="2" t="s">
        <v>6</v>
      </c>
      <c r="B2" s="2" t="s">
        <v>7</v>
      </c>
      <c r="C2" s="2" t="s">
        <v>8</v>
      </c>
      <c r="D2" s="7">
        <v>28528</v>
      </c>
      <c r="E2" s="7">
        <v>25744</v>
      </c>
      <c r="F2" s="3">
        <f t="shared" ref="F2:F12" ca="1" si="0">TODAY()</f>
        <v>45966</v>
      </c>
      <c r="G2" s="2">
        <v>111</v>
      </c>
      <c r="H2" t="s">
        <v>59</v>
      </c>
      <c r="I2" t="s">
        <v>204</v>
      </c>
      <c r="J2" t="s">
        <v>60</v>
      </c>
    </row>
    <row r="3" spans="1:10" x14ac:dyDescent="0.25">
      <c r="A3" s="2" t="s">
        <v>9</v>
      </c>
      <c r="B3" s="2" t="s">
        <v>10</v>
      </c>
      <c r="C3" s="2" t="s">
        <v>11</v>
      </c>
      <c r="D3" s="7">
        <v>28528</v>
      </c>
      <c r="E3" s="7">
        <v>27700</v>
      </c>
      <c r="F3" s="3">
        <f t="shared" ca="1" si="0"/>
        <v>45966</v>
      </c>
      <c r="G3" s="2">
        <v>117</v>
      </c>
      <c r="H3" t="s">
        <v>200</v>
      </c>
      <c r="I3" t="s">
        <v>61</v>
      </c>
      <c r="J3" t="s">
        <v>62</v>
      </c>
    </row>
    <row r="4" spans="1:10" x14ac:dyDescent="0.25">
      <c r="A4" s="2" t="s">
        <v>12</v>
      </c>
      <c r="B4" s="2" t="s">
        <v>10</v>
      </c>
      <c r="C4" s="2" t="s">
        <v>13</v>
      </c>
      <c r="D4" s="7">
        <v>28528</v>
      </c>
      <c r="E4" s="7">
        <v>23156</v>
      </c>
      <c r="F4" s="3">
        <f t="shared" ca="1" si="0"/>
        <v>45966</v>
      </c>
      <c r="G4" s="2">
        <v>82</v>
      </c>
      <c r="H4" t="s">
        <v>63</v>
      </c>
      <c r="I4" t="s">
        <v>64</v>
      </c>
      <c r="J4" t="s">
        <v>65</v>
      </c>
    </row>
    <row r="5" spans="1:10" x14ac:dyDescent="0.25">
      <c r="A5" s="2" t="s">
        <v>14</v>
      </c>
      <c r="B5" s="2" t="s">
        <v>15</v>
      </c>
      <c r="C5" s="2" t="s">
        <v>16</v>
      </c>
      <c r="D5" s="7">
        <v>28528</v>
      </c>
      <c r="E5" s="7">
        <v>35146</v>
      </c>
      <c r="F5" s="3">
        <f t="shared" ca="1" si="0"/>
        <v>45966</v>
      </c>
      <c r="G5" s="2">
        <v>78</v>
      </c>
      <c r="H5" t="s">
        <v>66</v>
      </c>
      <c r="I5" t="s">
        <v>67</v>
      </c>
      <c r="J5" t="s">
        <v>68</v>
      </c>
    </row>
    <row r="6" spans="1:10" x14ac:dyDescent="0.25">
      <c r="A6" s="2" t="s">
        <v>17</v>
      </c>
      <c r="B6" s="2" t="s">
        <v>18</v>
      </c>
      <c r="C6" s="2" t="s">
        <v>19</v>
      </c>
      <c r="D6" s="7">
        <v>28528</v>
      </c>
      <c r="E6" s="7">
        <v>27409</v>
      </c>
      <c r="F6" s="3">
        <f t="shared" ca="1" si="0"/>
        <v>45966</v>
      </c>
      <c r="G6" s="2">
        <v>130</v>
      </c>
      <c r="H6" t="s">
        <v>69</v>
      </c>
      <c r="I6" t="s">
        <v>205</v>
      </c>
      <c r="J6" t="s">
        <v>70</v>
      </c>
    </row>
    <row r="7" spans="1:10" x14ac:dyDescent="0.25">
      <c r="A7" s="2" t="s">
        <v>20</v>
      </c>
      <c r="B7" s="2" t="s">
        <v>21</v>
      </c>
      <c r="C7" s="2" t="s">
        <v>22</v>
      </c>
      <c r="D7" s="7">
        <v>28528</v>
      </c>
      <c r="E7" s="7">
        <v>34079</v>
      </c>
      <c r="F7" s="3">
        <f t="shared" ca="1" si="0"/>
        <v>45966</v>
      </c>
      <c r="G7" s="2">
        <v>57</v>
      </c>
      <c r="H7" t="s">
        <v>71</v>
      </c>
      <c r="I7" t="s">
        <v>72</v>
      </c>
      <c r="J7" t="s">
        <v>73</v>
      </c>
    </row>
    <row r="8" spans="1:10" x14ac:dyDescent="0.25">
      <c r="A8" s="2" t="s">
        <v>23</v>
      </c>
      <c r="B8" s="2" t="s">
        <v>24</v>
      </c>
      <c r="C8" s="2" t="s">
        <v>25</v>
      </c>
      <c r="D8" s="7">
        <v>28528</v>
      </c>
      <c r="E8" s="7">
        <v>24525</v>
      </c>
      <c r="F8" s="3">
        <f t="shared" ca="1" si="0"/>
        <v>45966</v>
      </c>
      <c r="G8" s="2">
        <v>58</v>
      </c>
      <c r="H8" t="s">
        <v>74</v>
      </c>
      <c r="I8" t="s">
        <v>75</v>
      </c>
      <c r="J8" t="s">
        <v>76</v>
      </c>
    </row>
    <row r="9" spans="1:10" x14ac:dyDescent="0.25">
      <c r="A9" s="2" t="s">
        <v>20</v>
      </c>
      <c r="B9" s="2" t="s">
        <v>7</v>
      </c>
      <c r="C9" s="2" t="s">
        <v>26</v>
      </c>
      <c r="D9" s="7">
        <v>28528</v>
      </c>
      <c r="E9" s="7">
        <v>37273</v>
      </c>
      <c r="F9" s="3">
        <f t="shared" ca="1" si="0"/>
        <v>45966</v>
      </c>
      <c r="G9" s="2">
        <v>139</v>
      </c>
      <c r="H9" t="s">
        <v>77</v>
      </c>
      <c r="I9" t="s">
        <v>78</v>
      </c>
      <c r="J9" t="s">
        <v>79</v>
      </c>
    </row>
    <row r="10" spans="1:10" x14ac:dyDescent="0.25">
      <c r="A10" s="2" t="s">
        <v>27</v>
      </c>
      <c r="B10" s="2" t="s">
        <v>28</v>
      </c>
      <c r="C10" s="2" t="s">
        <v>19</v>
      </c>
      <c r="D10" s="7">
        <v>28528</v>
      </c>
      <c r="E10" s="7">
        <v>24958</v>
      </c>
      <c r="F10" s="3">
        <f t="shared" ca="1" si="0"/>
        <v>45966</v>
      </c>
      <c r="G10" s="2">
        <v>64</v>
      </c>
      <c r="H10" s="5" t="s">
        <v>80</v>
      </c>
      <c r="I10" t="s">
        <v>81</v>
      </c>
      <c r="J10" t="s">
        <v>82</v>
      </c>
    </row>
    <row r="11" spans="1:10" x14ac:dyDescent="0.25">
      <c r="A11" s="2"/>
      <c r="B11" s="2"/>
      <c r="C11" s="2"/>
      <c r="D11" s="7"/>
      <c r="E11" s="7"/>
      <c r="F11" s="3"/>
      <c r="G11" s="2"/>
    </row>
    <row r="12" spans="1:10" x14ac:dyDescent="0.25">
      <c r="A12" s="2" t="s">
        <v>30</v>
      </c>
      <c r="B12" s="2" t="s">
        <v>31</v>
      </c>
      <c r="C12" s="2" t="s">
        <v>13</v>
      </c>
      <c r="D12" s="7">
        <v>28528</v>
      </c>
      <c r="E12" s="7">
        <v>24210</v>
      </c>
      <c r="F12" s="3">
        <f t="shared" ca="1" si="0"/>
        <v>45966</v>
      </c>
      <c r="G12" s="2">
        <v>112</v>
      </c>
      <c r="H12" t="s">
        <v>83</v>
      </c>
      <c r="I12" t="s">
        <v>84</v>
      </c>
      <c r="J12" t="s">
        <v>85</v>
      </c>
    </row>
    <row r="13" spans="1:10" x14ac:dyDescent="0.25">
      <c r="D13" s="7"/>
      <c r="F13" s="3"/>
    </row>
    <row r="14" spans="1:10" x14ac:dyDescent="0.25">
      <c r="A14" s="2" t="s">
        <v>32</v>
      </c>
      <c r="B14" s="2" t="s">
        <v>33</v>
      </c>
      <c r="C14" s="2" t="s">
        <v>22</v>
      </c>
      <c r="D14" s="7">
        <v>28528</v>
      </c>
      <c r="E14" s="7">
        <v>33811</v>
      </c>
      <c r="F14" s="3">
        <f t="shared" ref="F14:F15" ca="1" si="1">TODAY()</f>
        <v>45966</v>
      </c>
      <c r="G14" s="2">
        <v>135</v>
      </c>
      <c r="H14" t="s">
        <v>86</v>
      </c>
      <c r="I14" t="s">
        <v>87</v>
      </c>
      <c r="J14" t="s">
        <v>88</v>
      </c>
    </row>
    <row r="15" spans="1:10" x14ac:dyDescent="0.25">
      <c r="A15" s="2" t="s">
        <v>34</v>
      </c>
      <c r="B15" s="2" t="s">
        <v>29</v>
      </c>
      <c r="C15" s="2" t="s">
        <v>11</v>
      </c>
      <c r="D15" s="7">
        <v>28528</v>
      </c>
      <c r="E15" s="7">
        <v>30022</v>
      </c>
      <c r="F15" s="3">
        <f t="shared" ca="1" si="1"/>
        <v>45966</v>
      </c>
      <c r="G15" s="2">
        <v>115</v>
      </c>
      <c r="H15" t="s">
        <v>89</v>
      </c>
      <c r="I15" t="s">
        <v>90</v>
      </c>
      <c r="J15" t="s">
        <v>91</v>
      </c>
    </row>
    <row r="16" spans="1:10" x14ac:dyDescent="0.25">
      <c r="D16" s="7"/>
      <c r="F16" s="3"/>
    </row>
    <row r="17" spans="1:10" x14ac:dyDescent="0.25">
      <c r="A17" s="2" t="s">
        <v>30</v>
      </c>
      <c r="B17" s="2" t="s">
        <v>15</v>
      </c>
      <c r="C17" s="2" t="s">
        <v>35</v>
      </c>
      <c r="D17" s="7">
        <v>28528</v>
      </c>
      <c r="E17" s="7">
        <v>29781</v>
      </c>
      <c r="F17" s="3">
        <f t="shared" ref="F17:F24" ca="1" si="2">TODAY()</f>
        <v>45966</v>
      </c>
      <c r="G17" s="2">
        <v>97</v>
      </c>
      <c r="H17" t="s">
        <v>92</v>
      </c>
      <c r="I17" t="s">
        <v>93</v>
      </c>
      <c r="J17" t="s">
        <v>94</v>
      </c>
    </row>
    <row r="18" spans="1:10" x14ac:dyDescent="0.25">
      <c r="A18" s="2" t="s">
        <v>27</v>
      </c>
      <c r="B18" s="2" t="s">
        <v>7</v>
      </c>
      <c r="C18" s="2" t="s">
        <v>36</v>
      </c>
      <c r="D18" s="7">
        <v>28528</v>
      </c>
      <c r="E18" s="7">
        <v>17727</v>
      </c>
      <c r="F18" s="3">
        <f t="shared" ca="1" si="2"/>
        <v>45966</v>
      </c>
      <c r="G18" s="2">
        <v>30</v>
      </c>
      <c r="H18" t="s">
        <v>95</v>
      </c>
      <c r="I18" t="s">
        <v>96</v>
      </c>
      <c r="J18" t="s">
        <v>97</v>
      </c>
    </row>
    <row r="19" spans="1:10" x14ac:dyDescent="0.25">
      <c r="A19" s="2" t="s">
        <v>27</v>
      </c>
      <c r="B19" s="2" t="s">
        <v>29</v>
      </c>
      <c r="C19" s="2" t="s">
        <v>37</v>
      </c>
      <c r="D19" s="7">
        <v>28528</v>
      </c>
      <c r="E19" s="7">
        <v>25279</v>
      </c>
      <c r="F19" s="3">
        <f t="shared" ca="1" si="2"/>
        <v>45966</v>
      </c>
      <c r="G19" s="2">
        <v>144</v>
      </c>
      <c r="H19" t="s">
        <v>98</v>
      </c>
      <c r="I19" t="s">
        <v>99</v>
      </c>
      <c r="J19" t="s">
        <v>100</v>
      </c>
    </row>
    <row r="20" spans="1:10" x14ac:dyDescent="0.25">
      <c r="A20" s="2" t="s">
        <v>12</v>
      </c>
      <c r="B20" s="2" t="s">
        <v>38</v>
      </c>
      <c r="C20" s="2" t="s">
        <v>8</v>
      </c>
      <c r="D20" s="7">
        <v>28528</v>
      </c>
      <c r="E20" s="7">
        <v>21410</v>
      </c>
      <c r="F20" s="3">
        <f t="shared" ca="1" si="2"/>
        <v>45966</v>
      </c>
      <c r="G20" s="2">
        <v>92</v>
      </c>
      <c r="H20" s="5" t="s">
        <v>203</v>
      </c>
      <c r="I20" t="s">
        <v>101</v>
      </c>
      <c r="J20" t="s">
        <v>102</v>
      </c>
    </row>
    <row r="21" spans="1:10" ht="15.75" customHeight="1" x14ac:dyDescent="0.25">
      <c r="A21" s="2" t="s">
        <v>39</v>
      </c>
      <c r="B21" s="2" t="s">
        <v>33</v>
      </c>
      <c r="C21" s="2" t="s">
        <v>40</v>
      </c>
      <c r="D21" s="7">
        <v>28528</v>
      </c>
      <c r="E21" s="7">
        <v>30532</v>
      </c>
      <c r="F21" s="3">
        <f t="shared" ca="1" si="2"/>
        <v>45966</v>
      </c>
      <c r="G21" s="2">
        <v>76</v>
      </c>
      <c r="H21" t="s">
        <v>103</v>
      </c>
      <c r="I21" t="s">
        <v>104</v>
      </c>
      <c r="J21" t="s">
        <v>105</v>
      </c>
    </row>
    <row r="22" spans="1:10" ht="15.75" customHeight="1" x14ac:dyDescent="0.25">
      <c r="A22" s="2" t="s">
        <v>41</v>
      </c>
      <c r="B22" s="2" t="s">
        <v>42</v>
      </c>
      <c r="C22" s="2" t="s">
        <v>36</v>
      </c>
      <c r="D22" s="7">
        <v>28528</v>
      </c>
      <c r="E22" s="7">
        <v>30998</v>
      </c>
      <c r="F22" s="3">
        <f t="shared" ca="1" si="2"/>
        <v>45966</v>
      </c>
      <c r="G22" s="2">
        <v>112</v>
      </c>
      <c r="H22" t="s">
        <v>106</v>
      </c>
      <c r="I22" t="s">
        <v>107</v>
      </c>
      <c r="J22" t="s">
        <v>108</v>
      </c>
    </row>
    <row r="23" spans="1:10" ht="15.75" customHeight="1" x14ac:dyDescent="0.25">
      <c r="A23" s="2" t="s">
        <v>14</v>
      </c>
      <c r="B23" s="2" t="s">
        <v>43</v>
      </c>
      <c r="C23" s="2" t="s">
        <v>36</v>
      </c>
      <c r="D23" s="7">
        <v>28528</v>
      </c>
      <c r="E23" s="7">
        <v>27566</v>
      </c>
      <c r="F23" s="3">
        <f t="shared" ca="1" si="2"/>
        <v>45966</v>
      </c>
      <c r="G23" s="2">
        <v>102</v>
      </c>
      <c r="H23" t="s">
        <v>109</v>
      </c>
      <c r="I23" t="s">
        <v>110</v>
      </c>
      <c r="J23" t="s">
        <v>111</v>
      </c>
    </row>
    <row r="24" spans="1:10" ht="15.75" customHeight="1" x14ac:dyDescent="0.25">
      <c r="A24" s="2" t="s">
        <v>12</v>
      </c>
      <c r="B24" s="2" t="s">
        <v>28</v>
      </c>
      <c r="C24" s="2" t="s">
        <v>22</v>
      </c>
      <c r="D24" s="7">
        <v>28528</v>
      </c>
      <c r="E24" s="7">
        <v>27299</v>
      </c>
      <c r="F24" s="3">
        <f t="shared" ca="1" si="2"/>
        <v>45966</v>
      </c>
      <c r="G24" s="2">
        <v>51</v>
      </c>
      <c r="H24" t="s">
        <v>112</v>
      </c>
      <c r="I24" t="s">
        <v>113</v>
      </c>
      <c r="J24" t="s">
        <v>114</v>
      </c>
    </row>
    <row r="25" spans="1:10" ht="15.75" customHeight="1" x14ac:dyDescent="0.25">
      <c r="D25" s="7"/>
      <c r="F25" s="3"/>
    </row>
    <row r="26" spans="1:10" ht="15.75" customHeight="1" x14ac:dyDescent="0.25">
      <c r="A26" s="2" t="s">
        <v>27</v>
      </c>
      <c r="B26" s="2" t="s">
        <v>38</v>
      </c>
      <c r="C26" s="2" t="s">
        <v>35</v>
      </c>
      <c r="D26" s="7">
        <v>28528</v>
      </c>
      <c r="E26" s="7">
        <v>21405</v>
      </c>
      <c r="F26" s="3">
        <f t="shared" ref="F26:F39" ca="1" si="3">TODAY()</f>
        <v>45966</v>
      </c>
      <c r="G26" s="2">
        <v>83</v>
      </c>
      <c r="H26" t="s">
        <v>115</v>
      </c>
      <c r="I26" t="s">
        <v>116</v>
      </c>
      <c r="J26" t="s">
        <v>117</v>
      </c>
    </row>
    <row r="27" spans="1:10" ht="15.75" customHeight="1" x14ac:dyDescent="0.25">
      <c r="A27" s="2" t="s">
        <v>44</v>
      </c>
      <c r="B27" s="2" t="s">
        <v>38</v>
      </c>
      <c r="C27" s="2" t="s">
        <v>13</v>
      </c>
      <c r="D27" s="7">
        <v>28528</v>
      </c>
      <c r="E27" s="7">
        <v>16173</v>
      </c>
      <c r="F27" s="3">
        <f t="shared" ca="1" si="3"/>
        <v>45966</v>
      </c>
      <c r="G27" s="2">
        <v>86</v>
      </c>
      <c r="H27" t="s">
        <v>118</v>
      </c>
      <c r="I27" t="s">
        <v>119</v>
      </c>
      <c r="J27" t="s">
        <v>120</v>
      </c>
    </row>
    <row r="28" spans="1:10" ht="15.75" customHeight="1" x14ac:dyDescent="0.25">
      <c r="A28" s="2" t="s">
        <v>32</v>
      </c>
      <c r="B28" s="2" t="s">
        <v>45</v>
      </c>
      <c r="C28" s="2" t="s">
        <v>25</v>
      </c>
      <c r="D28" s="7">
        <v>28528</v>
      </c>
      <c r="E28" s="7">
        <v>25570</v>
      </c>
      <c r="F28" s="3">
        <f t="shared" ca="1" si="3"/>
        <v>45966</v>
      </c>
      <c r="G28" s="2">
        <v>137</v>
      </c>
      <c r="H28" t="s">
        <v>121</v>
      </c>
      <c r="I28" t="s">
        <v>122</v>
      </c>
      <c r="J28" t="s">
        <v>123</v>
      </c>
    </row>
    <row r="29" spans="1:10" ht="15.75" customHeight="1" x14ac:dyDescent="0.25">
      <c r="A29" s="2" t="s">
        <v>20</v>
      </c>
      <c r="B29" s="2" t="s">
        <v>15</v>
      </c>
      <c r="C29" s="2" t="s">
        <v>36</v>
      </c>
      <c r="D29" s="7">
        <v>28528</v>
      </c>
      <c r="E29" s="7">
        <v>30764</v>
      </c>
      <c r="F29" s="3">
        <f t="shared" ca="1" si="3"/>
        <v>45966</v>
      </c>
      <c r="G29" s="2">
        <v>99</v>
      </c>
      <c r="H29" t="s">
        <v>124</v>
      </c>
      <c r="I29" t="s">
        <v>125</v>
      </c>
      <c r="J29" t="s">
        <v>126</v>
      </c>
    </row>
    <row r="30" spans="1:10" ht="15.75" customHeight="1" x14ac:dyDescent="0.25">
      <c r="A30" s="2" t="s">
        <v>41</v>
      </c>
      <c r="B30" s="2" t="s">
        <v>45</v>
      </c>
      <c r="C30" s="2" t="s">
        <v>8</v>
      </c>
      <c r="D30" s="7">
        <v>28528</v>
      </c>
      <c r="E30" s="7">
        <v>38655</v>
      </c>
      <c r="F30" s="3">
        <f t="shared" ca="1" si="3"/>
        <v>45966</v>
      </c>
      <c r="G30" s="2">
        <v>53</v>
      </c>
      <c r="H30" t="s">
        <v>127</v>
      </c>
      <c r="I30" t="s">
        <v>128</v>
      </c>
      <c r="J30" t="s">
        <v>129</v>
      </c>
    </row>
    <row r="31" spans="1:10" ht="15.75" customHeight="1" x14ac:dyDescent="0.25">
      <c r="A31" s="2" t="s">
        <v>30</v>
      </c>
      <c r="B31" s="2" t="s">
        <v>38</v>
      </c>
      <c r="C31" s="2" t="s">
        <v>11</v>
      </c>
      <c r="D31" s="7">
        <v>28528</v>
      </c>
      <c r="E31" s="7">
        <v>33033</v>
      </c>
      <c r="F31" s="3">
        <f t="shared" ca="1" si="3"/>
        <v>45966</v>
      </c>
      <c r="G31" s="2">
        <v>102</v>
      </c>
      <c r="H31" t="s">
        <v>130</v>
      </c>
      <c r="I31" t="s">
        <v>131</v>
      </c>
      <c r="J31" t="s">
        <v>132</v>
      </c>
    </row>
    <row r="32" spans="1:10" ht="15.75" customHeight="1" x14ac:dyDescent="0.25">
      <c r="A32" s="2" t="s">
        <v>30</v>
      </c>
      <c r="B32" s="2" t="s">
        <v>38</v>
      </c>
      <c r="C32" s="2" t="s">
        <v>11</v>
      </c>
      <c r="D32" s="7">
        <v>28528</v>
      </c>
      <c r="E32" s="7">
        <v>29057</v>
      </c>
      <c r="F32" s="3">
        <f t="shared" ca="1" si="3"/>
        <v>45966</v>
      </c>
      <c r="G32" s="2">
        <v>101</v>
      </c>
      <c r="H32" t="s">
        <v>133</v>
      </c>
      <c r="I32" t="s">
        <v>134</v>
      </c>
      <c r="J32" t="s">
        <v>135</v>
      </c>
    </row>
    <row r="33" spans="1:10" ht="15.75" customHeight="1" x14ac:dyDescent="0.25">
      <c r="A33" s="2" t="s">
        <v>30</v>
      </c>
      <c r="B33" s="2" t="s">
        <v>46</v>
      </c>
      <c r="C33" s="2" t="s">
        <v>11</v>
      </c>
      <c r="D33" s="7">
        <v>28528</v>
      </c>
      <c r="E33" s="7">
        <v>33096</v>
      </c>
      <c r="F33" s="3">
        <f t="shared" ca="1" si="3"/>
        <v>45966</v>
      </c>
      <c r="G33" s="2">
        <v>58</v>
      </c>
      <c r="H33" t="s">
        <v>136</v>
      </c>
      <c r="I33" t="s">
        <v>137</v>
      </c>
      <c r="J33" t="s">
        <v>138</v>
      </c>
    </row>
    <row r="34" spans="1:10" ht="15.75" customHeight="1" x14ac:dyDescent="0.25">
      <c r="A34" s="2" t="s">
        <v>30</v>
      </c>
      <c r="B34" s="2" t="s">
        <v>47</v>
      </c>
      <c r="C34" s="2" t="s">
        <v>13</v>
      </c>
      <c r="D34" s="7">
        <v>28528</v>
      </c>
      <c r="E34" s="7">
        <v>19002</v>
      </c>
      <c r="F34" s="3">
        <f t="shared" ca="1" si="3"/>
        <v>45966</v>
      </c>
      <c r="G34" s="2">
        <v>103</v>
      </c>
      <c r="H34" t="s">
        <v>139</v>
      </c>
      <c r="I34" t="s">
        <v>140</v>
      </c>
      <c r="J34" t="s">
        <v>141</v>
      </c>
    </row>
    <row r="35" spans="1:10" ht="15.75" customHeight="1" x14ac:dyDescent="0.25">
      <c r="A35" s="2" t="s">
        <v>17</v>
      </c>
      <c r="B35" s="2" t="s">
        <v>33</v>
      </c>
      <c r="C35" s="2" t="s">
        <v>8</v>
      </c>
      <c r="D35" s="7">
        <v>28528</v>
      </c>
      <c r="E35" s="7">
        <v>27704</v>
      </c>
      <c r="F35" s="3">
        <f t="shared" ca="1" si="3"/>
        <v>45966</v>
      </c>
      <c r="G35" s="2">
        <v>35</v>
      </c>
      <c r="H35" t="s">
        <v>142</v>
      </c>
      <c r="I35" t="s">
        <v>143</v>
      </c>
      <c r="J35" t="s">
        <v>144</v>
      </c>
    </row>
    <row r="36" spans="1:10" ht="15.75" customHeight="1" x14ac:dyDescent="0.25">
      <c r="A36" s="2" t="s">
        <v>48</v>
      </c>
      <c r="B36" s="2" t="s">
        <v>46</v>
      </c>
      <c r="C36" s="2" t="s">
        <v>36</v>
      </c>
      <c r="D36" s="7">
        <v>28528</v>
      </c>
      <c r="E36" s="7">
        <v>35917</v>
      </c>
      <c r="F36" s="3">
        <f t="shared" ca="1" si="3"/>
        <v>45966</v>
      </c>
      <c r="G36" s="2">
        <v>129</v>
      </c>
      <c r="H36" t="s">
        <v>145</v>
      </c>
      <c r="I36" t="s">
        <v>146</v>
      </c>
      <c r="J36" t="s">
        <v>147</v>
      </c>
    </row>
    <row r="37" spans="1:10" ht="15.75" customHeight="1" x14ac:dyDescent="0.25">
      <c r="A37" s="2" t="s">
        <v>9</v>
      </c>
      <c r="B37" s="2" t="s">
        <v>29</v>
      </c>
      <c r="C37" s="2" t="s">
        <v>22</v>
      </c>
      <c r="D37" s="7">
        <v>28528</v>
      </c>
      <c r="E37" s="7">
        <v>32251</v>
      </c>
      <c r="F37" s="3">
        <f t="shared" ca="1" si="3"/>
        <v>45966</v>
      </c>
      <c r="G37" s="2">
        <v>53</v>
      </c>
      <c r="H37" t="s">
        <v>201</v>
      </c>
      <c r="I37" t="s">
        <v>148</v>
      </c>
      <c r="J37" t="s">
        <v>149</v>
      </c>
    </row>
    <row r="38" spans="1:10" ht="15.75" customHeight="1" x14ac:dyDescent="0.25">
      <c r="A38" s="2" t="s">
        <v>27</v>
      </c>
      <c r="B38" s="2" t="s">
        <v>49</v>
      </c>
      <c r="C38" s="2" t="s">
        <v>22</v>
      </c>
      <c r="D38" s="7">
        <v>28528</v>
      </c>
      <c r="E38" s="7">
        <v>23837</v>
      </c>
      <c r="F38" s="3">
        <f t="shared" ca="1" si="3"/>
        <v>45966</v>
      </c>
      <c r="G38" s="2">
        <v>66</v>
      </c>
      <c r="H38" t="s">
        <v>150</v>
      </c>
      <c r="I38" t="s">
        <v>151</v>
      </c>
      <c r="J38" t="s">
        <v>152</v>
      </c>
    </row>
    <row r="39" spans="1:10" ht="15.75" customHeight="1" x14ac:dyDescent="0.25">
      <c r="A39" s="2" t="s">
        <v>50</v>
      </c>
      <c r="B39" s="2" t="s">
        <v>38</v>
      </c>
      <c r="C39" s="2" t="s">
        <v>40</v>
      </c>
      <c r="D39" s="7">
        <v>28528</v>
      </c>
      <c r="E39" s="7">
        <v>31659</v>
      </c>
      <c r="F39" s="3">
        <f t="shared" ca="1" si="3"/>
        <v>45966</v>
      </c>
      <c r="G39" s="2">
        <v>36</v>
      </c>
      <c r="H39" t="s">
        <v>153</v>
      </c>
      <c r="I39" t="s">
        <v>154</v>
      </c>
      <c r="J39" t="s">
        <v>155</v>
      </c>
    </row>
    <row r="40" spans="1:10" ht="15.75" customHeight="1" x14ac:dyDescent="0.25">
      <c r="D40" s="7"/>
      <c r="F40" s="3"/>
    </row>
    <row r="41" spans="1:10" ht="15.75" customHeight="1" x14ac:dyDescent="0.25">
      <c r="A41" s="2" t="s">
        <v>6</v>
      </c>
      <c r="B41" s="2" t="s">
        <v>21</v>
      </c>
      <c r="C41" s="2" t="s">
        <v>40</v>
      </c>
      <c r="D41" s="7">
        <v>28528</v>
      </c>
      <c r="E41" s="7">
        <v>30929</v>
      </c>
      <c r="F41" s="3">
        <f t="shared" ref="F41:F49" ca="1" si="4">TODAY()</f>
        <v>45966</v>
      </c>
      <c r="G41" s="2">
        <v>112</v>
      </c>
      <c r="H41" t="s">
        <v>156</v>
      </c>
      <c r="I41" t="s">
        <v>157</v>
      </c>
      <c r="J41" t="s">
        <v>158</v>
      </c>
    </row>
    <row r="42" spans="1:10" ht="15.75" customHeight="1" x14ac:dyDescent="0.25">
      <c r="A42" s="2" t="s">
        <v>51</v>
      </c>
      <c r="B42" s="2" t="s">
        <v>52</v>
      </c>
      <c r="C42" s="2" t="s">
        <v>16</v>
      </c>
      <c r="D42" s="7">
        <v>28528</v>
      </c>
      <c r="E42" s="7">
        <v>32455</v>
      </c>
      <c r="F42" s="3">
        <f t="shared" ca="1" si="4"/>
        <v>45966</v>
      </c>
      <c r="G42" s="2">
        <v>55</v>
      </c>
      <c r="H42" t="s">
        <v>159</v>
      </c>
      <c r="I42" t="s">
        <v>160</v>
      </c>
      <c r="J42" t="s">
        <v>161</v>
      </c>
    </row>
    <row r="43" spans="1:10" ht="15.75" customHeight="1" x14ac:dyDescent="0.25">
      <c r="A43" s="2" t="s">
        <v>44</v>
      </c>
      <c r="B43" s="2" t="s">
        <v>7</v>
      </c>
      <c r="C43" s="2" t="s">
        <v>35</v>
      </c>
      <c r="D43" s="7">
        <v>28528</v>
      </c>
      <c r="E43" s="7">
        <v>22601</v>
      </c>
      <c r="F43" s="3">
        <f t="shared" ca="1" si="4"/>
        <v>45966</v>
      </c>
      <c r="G43" s="2">
        <v>55</v>
      </c>
      <c r="H43" t="s">
        <v>162</v>
      </c>
      <c r="I43" t="s">
        <v>163</v>
      </c>
      <c r="J43" t="s">
        <v>164</v>
      </c>
    </row>
    <row r="44" spans="1:10" ht="15.75" customHeight="1" x14ac:dyDescent="0.25">
      <c r="A44" s="2" t="s">
        <v>12</v>
      </c>
      <c r="B44" s="2" t="s">
        <v>29</v>
      </c>
      <c r="C44" s="2" t="s">
        <v>11</v>
      </c>
      <c r="D44" s="7">
        <v>28528</v>
      </c>
      <c r="E44" s="7">
        <v>24433</v>
      </c>
      <c r="F44" s="3">
        <f t="shared" ca="1" si="4"/>
        <v>45966</v>
      </c>
      <c r="G44" s="2">
        <v>118</v>
      </c>
      <c r="H44" t="s">
        <v>165</v>
      </c>
      <c r="I44" t="s">
        <v>166</v>
      </c>
      <c r="J44" t="s">
        <v>167</v>
      </c>
    </row>
    <row r="45" spans="1:10" ht="15.75" customHeight="1" x14ac:dyDescent="0.25">
      <c r="A45" s="2" t="s">
        <v>9</v>
      </c>
      <c r="B45" s="2" t="s">
        <v>38</v>
      </c>
      <c r="C45" s="2" t="s">
        <v>16</v>
      </c>
      <c r="D45" s="7">
        <v>28528</v>
      </c>
      <c r="E45" s="7">
        <v>20345</v>
      </c>
      <c r="F45" s="3">
        <f t="shared" ca="1" si="4"/>
        <v>45966</v>
      </c>
      <c r="G45" s="2">
        <v>99</v>
      </c>
      <c r="H45" t="s">
        <v>168</v>
      </c>
      <c r="I45" t="s">
        <v>169</v>
      </c>
      <c r="J45" t="s">
        <v>170</v>
      </c>
    </row>
    <row r="46" spans="1:10" ht="15.75" customHeight="1" x14ac:dyDescent="0.25">
      <c r="A46" s="2" t="s">
        <v>53</v>
      </c>
      <c r="B46" s="2" t="s">
        <v>28</v>
      </c>
      <c r="C46" s="2" t="s">
        <v>11</v>
      </c>
      <c r="D46" s="7">
        <v>28528</v>
      </c>
      <c r="E46" s="7">
        <v>30941</v>
      </c>
      <c r="F46" s="3">
        <f t="shared" ca="1" si="4"/>
        <v>45966</v>
      </c>
      <c r="G46" s="2">
        <v>85</v>
      </c>
      <c r="H46" t="s">
        <v>171</v>
      </c>
      <c r="I46" t="s">
        <v>172</v>
      </c>
      <c r="J46" t="s">
        <v>173</v>
      </c>
    </row>
    <row r="47" spans="1:10" ht="15.75" customHeight="1" x14ac:dyDescent="0.25">
      <c r="A47" s="2" t="s">
        <v>6</v>
      </c>
      <c r="B47" s="2" t="s">
        <v>54</v>
      </c>
      <c r="C47" s="2" t="s">
        <v>35</v>
      </c>
      <c r="D47" s="7">
        <v>28528</v>
      </c>
      <c r="E47" s="7">
        <v>34949</v>
      </c>
      <c r="F47" s="3">
        <f t="shared" ca="1" si="4"/>
        <v>45966</v>
      </c>
      <c r="G47" s="2">
        <v>149</v>
      </c>
      <c r="H47" t="s">
        <v>202</v>
      </c>
      <c r="I47" t="s">
        <v>174</v>
      </c>
      <c r="J47" t="s">
        <v>175</v>
      </c>
    </row>
    <row r="48" spans="1:10" ht="15.75" customHeight="1" x14ac:dyDescent="0.25">
      <c r="A48" s="2" t="s">
        <v>12</v>
      </c>
      <c r="B48" s="2" t="s">
        <v>29</v>
      </c>
      <c r="C48" s="2" t="s">
        <v>37</v>
      </c>
      <c r="D48" s="7">
        <v>28528</v>
      </c>
      <c r="E48" s="7">
        <v>31121</v>
      </c>
      <c r="F48" s="3">
        <f t="shared" ca="1" si="4"/>
        <v>45966</v>
      </c>
      <c r="G48" s="2">
        <v>34</v>
      </c>
      <c r="H48" t="s">
        <v>176</v>
      </c>
      <c r="I48" t="s">
        <v>177</v>
      </c>
      <c r="J48" t="s">
        <v>178</v>
      </c>
    </row>
    <row r="49" spans="1:10" ht="15.75" customHeight="1" x14ac:dyDescent="0.25">
      <c r="A49" s="2" t="s">
        <v>6</v>
      </c>
      <c r="B49" s="2" t="s">
        <v>18</v>
      </c>
      <c r="C49" s="2" t="s">
        <v>25</v>
      </c>
      <c r="D49" s="7">
        <v>28528</v>
      </c>
      <c r="E49" s="7">
        <v>31249</v>
      </c>
      <c r="F49" s="3">
        <f t="shared" ca="1" si="4"/>
        <v>45966</v>
      </c>
      <c r="G49" s="2">
        <v>37</v>
      </c>
      <c r="H49" t="s">
        <v>179</v>
      </c>
      <c r="I49" t="s">
        <v>180</v>
      </c>
      <c r="J49" t="s">
        <v>181</v>
      </c>
    </row>
    <row r="50" spans="1:10" ht="16.5" customHeight="1" x14ac:dyDescent="0.25">
      <c r="D50" s="7"/>
      <c r="F50" s="3"/>
    </row>
    <row r="51" spans="1:10" ht="15.75" customHeight="1" x14ac:dyDescent="0.25">
      <c r="A51" s="2" t="s">
        <v>9</v>
      </c>
      <c r="B51" s="2" t="s">
        <v>52</v>
      </c>
      <c r="C51" s="2" t="s">
        <v>16</v>
      </c>
      <c r="D51" s="7">
        <v>28528</v>
      </c>
      <c r="E51" s="7">
        <v>27513</v>
      </c>
      <c r="F51" s="3">
        <f t="shared" ref="F51:F56" ca="1" si="5">TODAY()</f>
        <v>45966</v>
      </c>
      <c r="G51" s="2">
        <v>36</v>
      </c>
      <c r="H51" t="s">
        <v>182</v>
      </c>
      <c r="I51" t="s">
        <v>183</v>
      </c>
      <c r="J51" t="s">
        <v>184</v>
      </c>
    </row>
    <row r="52" spans="1:10" ht="15.75" customHeight="1" x14ac:dyDescent="0.25">
      <c r="A52" s="2" t="s">
        <v>32</v>
      </c>
      <c r="B52" s="2" t="s">
        <v>33</v>
      </c>
      <c r="C52" s="2" t="s">
        <v>16</v>
      </c>
      <c r="D52" s="7">
        <v>28528</v>
      </c>
      <c r="E52" s="7">
        <v>37152</v>
      </c>
      <c r="F52" s="3">
        <f t="shared" ca="1" si="5"/>
        <v>45966</v>
      </c>
      <c r="G52" s="2">
        <v>55</v>
      </c>
      <c r="H52" t="s">
        <v>185</v>
      </c>
      <c r="I52" t="s">
        <v>186</v>
      </c>
      <c r="J52" t="s">
        <v>187</v>
      </c>
    </row>
    <row r="53" spans="1:10" ht="15.75" customHeight="1" x14ac:dyDescent="0.25">
      <c r="A53" s="2" t="s">
        <v>34</v>
      </c>
      <c r="B53" s="2" t="s">
        <v>33</v>
      </c>
      <c r="C53" s="2" t="s">
        <v>13</v>
      </c>
      <c r="D53" s="7">
        <v>28528</v>
      </c>
      <c r="E53" s="7">
        <v>20479</v>
      </c>
      <c r="F53" s="3">
        <f t="shared" ca="1" si="5"/>
        <v>45966</v>
      </c>
      <c r="G53" s="2">
        <v>42</v>
      </c>
      <c r="H53" t="s">
        <v>188</v>
      </c>
      <c r="I53" t="s">
        <v>189</v>
      </c>
      <c r="J53" t="s">
        <v>190</v>
      </c>
    </row>
    <row r="54" spans="1:10" ht="15.75" customHeight="1" x14ac:dyDescent="0.25">
      <c r="A54" s="2" t="s">
        <v>41</v>
      </c>
      <c r="B54" s="2" t="s">
        <v>55</v>
      </c>
      <c r="C54" s="2" t="s">
        <v>16</v>
      </c>
      <c r="D54" s="7">
        <v>28528</v>
      </c>
      <c r="E54" s="7">
        <v>24739</v>
      </c>
      <c r="F54" s="3">
        <f t="shared" ca="1" si="5"/>
        <v>45966</v>
      </c>
      <c r="G54" s="2">
        <v>98</v>
      </c>
      <c r="H54" t="s">
        <v>191</v>
      </c>
      <c r="I54" t="s">
        <v>192</v>
      </c>
      <c r="J54" t="s">
        <v>193</v>
      </c>
    </row>
    <row r="55" spans="1:10" ht="15.75" customHeight="1" x14ac:dyDescent="0.25">
      <c r="A55" s="2" t="s">
        <v>12</v>
      </c>
      <c r="B55" s="2" t="s">
        <v>33</v>
      </c>
      <c r="C55" s="2" t="s">
        <v>35</v>
      </c>
      <c r="D55" s="7">
        <v>28528</v>
      </c>
      <c r="E55" s="7">
        <v>19700</v>
      </c>
      <c r="F55" s="3">
        <f t="shared" ca="1" si="5"/>
        <v>45966</v>
      </c>
      <c r="G55" s="2">
        <v>131</v>
      </c>
      <c r="H55" t="s">
        <v>194</v>
      </c>
      <c r="I55" t="s">
        <v>195</v>
      </c>
      <c r="J55" t="s">
        <v>196</v>
      </c>
    </row>
    <row r="56" spans="1:10" ht="15.75" customHeight="1" x14ac:dyDescent="0.25">
      <c r="A56" s="2" t="s">
        <v>48</v>
      </c>
      <c r="B56" s="2" t="s">
        <v>52</v>
      </c>
      <c r="C56" s="2" t="s">
        <v>40</v>
      </c>
      <c r="D56" s="7">
        <v>28528</v>
      </c>
      <c r="E56" s="7">
        <v>29077</v>
      </c>
      <c r="F56" s="3">
        <f t="shared" ca="1" si="5"/>
        <v>45966</v>
      </c>
      <c r="G56" s="2">
        <v>92</v>
      </c>
      <c r="H56" t="s">
        <v>197</v>
      </c>
      <c r="I56" t="s">
        <v>198</v>
      </c>
      <c r="J56" t="s">
        <v>199</v>
      </c>
    </row>
    <row r="57" spans="1:10" ht="15.75" customHeight="1" x14ac:dyDescent="0.25"/>
    <row r="58" spans="1:10" ht="15.75" customHeight="1" x14ac:dyDescent="0.25"/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Nicacia Batista Lopes da Silva</cp:lastModifiedBy>
  <dcterms:created xsi:type="dcterms:W3CDTF">2025-10-22T16:36:49Z</dcterms:created>
  <dcterms:modified xsi:type="dcterms:W3CDTF">2025-11-05T23:45:07Z</dcterms:modified>
</cp:coreProperties>
</file>